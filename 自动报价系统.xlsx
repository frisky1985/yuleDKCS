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范围" sheetId="1" state="visible" r:id="rId1"/>
    <sheet xmlns:r="http://schemas.openxmlformats.org/officeDocument/2006/relationships" name="报价明细" sheetId="2" state="visible" r:id="rId2"/>
    <sheet xmlns:r="http://schemas.openxmlformats.org/officeDocument/2006/relationships" name="报价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  <color rgb="00666666"/>
      <sz val="9"/>
    </font>
    <font>
      <b val="1"/>
      <sz val="10"/>
    </font>
    <font>
      <color rgb="000000FF"/>
    </font>
    <font>
      <color rgb="00000000"/>
    </font>
    <font>
      <b val="1"/>
    </font>
    <font>
      <i val="1"/>
      <color rgb="00008000"/>
      <sz val="9"/>
    </font>
    <font>
      <color rgb="00008000"/>
    </font>
    <font>
      <b val="1"/>
      <color rgb="000061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4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0" borderId="0" pivotButton="0" quotePrefix="0" xfId="0"/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</cols>
  <sheetData>
    <row r="1">
      <c r="A1" s="1" t="inlineStr">
        <is>
          <t>报价范围表</t>
        </is>
      </c>
    </row>
    <row r="3">
      <c r="A3" s="2" t="inlineStr">
        <is>
          <t>项目类型</t>
        </is>
      </c>
      <c r="B3" s="2" t="inlineStr">
        <is>
          <t>报价范围（元）</t>
        </is>
      </c>
      <c r="C3" s="2" t="inlineStr">
        <is>
          <t>备注</t>
        </is>
      </c>
      <c r="D3" s="2" t="inlineStr">
        <is>
          <t>适用场景</t>
        </is>
      </c>
    </row>
    <row r="4">
      <c r="A4" s="3" t="inlineStr">
        <is>
          <t>小型项目</t>
        </is>
      </c>
      <c r="B4" s="3" t="inlineStr">
        <is>
          <t>5,000 - 20,000</t>
        </is>
      </c>
      <c r="C4" s="3" t="inlineStr">
        <is>
          <t>基础功能，1-2周交付</t>
        </is>
      </c>
      <c r="D4" s="3" t="inlineStr">
        <is>
          <t>简单网站、小程序</t>
        </is>
      </c>
    </row>
    <row r="5">
      <c r="A5" s="3" t="inlineStr">
        <is>
          <t>中型项目</t>
        </is>
      </c>
      <c r="B5" s="3" t="inlineStr">
        <is>
          <t>20,000 - 80,000</t>
        </is>
      </c>
      <c r="C5" s="3" t="inlineStr">
        <is>
          <t>标准功能，2-6周交付</t>
        </is>
      </c>
      <c r="D5" s="3" t="inlineStr">
        <is>
          <t>企业官网、管理系统</t>
        </is>
      </c>
    </row>
    <row r="6">
      <c r="A6" s="3" t="inlineStr">
        <is>
          <t>大型项目</t>
        </is>
      </c>
      <c r="B6" s="3" t="inlineStr">
        <is>
          <t>80,000 - 300,000</t>
        </is>
      </c>
      <c r="C6" s="3" t="inlineStr">
        <is>
          <t>复杂功能，1-3月交付</t>
        </is>
      </c>
      <c r="D6" s="3" t="inlineStr">
        <is>
          <t>电商平台、定制系统</t>
        </is>
      </c>
    </row>
    <row r="7">
      <c r="A7" s="3" t="inlineStr">
        <is>
          <t>企业级项目</t>
        </is>
      </c>
      <c r="B7" s="3" t="inlineStr">
        <is>
          <t>300,000+</t>
        </is>
      </c>
      <c r="C7" s="3" t="inlineStr">
        <is>
          <t>高度定制，3月+交付</t>
        </is>
      </c>
      <c r="D7" s="3" t="inlineStr">
        <is>
          <t>大型平台、集成系统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4" customWidth="1" min="11" max="11"/>
  </cols>
  <sheetData>
    <row r="1">
      <c r="A1" s="1" t="inlineStr">
        <is>
          <t>项目报价明细表</t>
        </is>
      </c>
    </row>
    <row r="2">
      <c r="A2" s="4" t="inlineStr">
        <is>
          <t>说明：蓝色字体为可编辑项，黑色为自动计算</t>
        </is>
      </c>
    </row>
    <row r="4" ht="22" customHeight="1">
      <c r="A4" s="2" t="inlineStr">
        <is>
          <t>序号</t>
        </is>
      </c>
      <c r="B4" s="2" t="inlineStr">
        <is>
          <t>项目名称</t>
        </is>
      </c>
      <c r="C4" s="2" t="inlineStr">
        <is>
          <t>项目类型</t>
        </is>
      </c>
      <c r="D4" s="2" t="inlineStr">
        <is>
          <t>工时投入</t>
        </is>
      </c>
      <c r="E4" s="5" t="n"/>
      <c r="F4" s="6" t="n"/>
      <c r="G4" s="2" t="inlineStr">
        <is>
          <t>硬件投入</t>
        </is>
      </c>
      <c r="H4" s="6" t="n"/>
      <c r="I4" s="2" t="inlineStr">
        <is>
          <t>制造投入</t>
        </is>
      </c>
      <c r="J4" s="6" t="n"/>
      <c r="K4" s="2" t="inlineStr">
        <is>
          <t>小计（元）</t>
        </is>
      </c>
    </row>
    <row r="5" ht="22" customHeight="1">
      <c r="A5" s="7" t="inlineStr"/>
      <c r="B5" s="7" t="inlineStr"/>
      <c r="C5" s="7" t="inlineStr"/>
      <c r="D5" s="7" t="inlineStr">
        <is>
          <t>人工（人天）</t>
        </is>
      </c>
      <c r="E5" s="7" t="inlineStr">
        <is>
          <t>单价（元/天）</t>
        </is>
      </c>
      <c r="F5" s="7" t="inlineStr">
        <is>
          <t>金额（元）</t>
        </is>
      </c>
      <c r="G5" s="7" t="inlineStr">
        <is>
          <t>设备名称</t>
        </is>
      </c>
      <c r="H5" s="7" t="inlineStr">
        <is>
          <t>金额（元）</t>
        </is>
      </c>
      <c r="I5" s="7" t="inlineStr">
        <is>
          <t>材料/工艺</t>
        </is>
      </c>
      <c r="J5" s="7" t="inlineStr">
        <is>
          <t>金额（元）</t>
        </is>
      </c>
      <c r="K5" s="7" t="inlineStr"/>
    </row>
    <row r="6" ht="22" customHeight="1">
      <c r="A6" s="3" t="n">
        <v>1</v>
      </c>
      <c r="B6" s="3" t="inlineStr">
        <is>
          <t>网站前端开发</t>
        </is>
      </c>
      <c r="C6" s="3" t="inlineStr">
        <is>
          <t>中型项目</t>
        </is>
      </c>
      <c r="D6" s="8" t="n">
        <v>15</v>
      </c>
      <c r="E6" s="8" t="n">
        <v>800</v>
      </c>
      <c r="F6" s="9">
        <f>D6*E6</f>
        <v/>
      </c>
      <c r="G6" s="8" t="inlineStr">
        <is>
          <t>云服务器</t>
        </is>
      </c>
      <c r="H6" s="9" t="n">
        <v>3000</v>
      </c>
      <c r="I6" s="8" t="inlineStr">
        <is>
          <t>UI设计外包</t>
        </is>
      </c>
      <c r="J6" s="9" t="n">
        <v>5000</v>
      </c>
      <c r="K6" s="9">
        <f>F6+H6+J6</f>
        <v/>
      </c>
    </row>
    <row r="7" ht="22" customHeight="1">
      <c r="A7" s="3" t="n">
        <v>2</v>
      </c>
      <c r="B7" s="3" t="inlineStr">
        <is>
          <t>后端API开发</t>
        </is>
      </c>
      <c r="C7" s="3" t="inlineStr">
        <is>
          <t>中型项目</t>
        </is>
      </c>
      <c r="D7" s="8" t="n">
        <v>20</v>
      </c>
      <c r="E7" s="8" t="n">
        <v>1000</v>
      </c>
      <c r="F7" s="9">
        <f>D7*E7</f>
        <v/>
      </c>
      <c r="G7" s="8" t="inlineStr">
        <is>
          <t>数据库服务</t>
        </is>
      </c>
      <c r="H7" s="9" t="n">
        <v>2000</v>
      </c>
      <c r="I7" s="8" t="inlineStr">
        <is>
          <t>第三方接口</t>
        </is>
      </c>
      <c r="J7" s="9" t="n">
        <v>3000</v>
      </c>
      <c r="K7" s="9">
        <f>F7+H7+J7</f>
        <v/>
      </c>
    </row>
    <row r="8" ht="22" customHeight="1">
      <c r="A8" s="3" t="n">
        <v>3</v>
      </c>
      <c r="B8" s="3" t="inlineStr">
        <is>
          <t>系统测试部署</t>
        </is>
      </c>
      <c r="C8" s="3" t="inlineStr">
        <is>
          <t>小型项目</t>
        </is>
      </c>
      <c r="D8" s="8" t="n">
        <v>5</v>
      </c>
      <c r="E8" s="8" t="n">
        <v>600</v>
      </c>
      <c r="F8" s="9">
        <f>D8*E8</f>
        <v/>
      </c>
      <c r="G8" s="8" t="inlineStr">
        <is>
          <t>测试设备</t>
        </is>
      </c>
      <c r="H8" s="9" t="n">
        <v>1000</v>
      </c>
      <c r="I8" s="8" t="inlineStr">
        <is>
          <t>部署服务</t>
        </is>
      </c>
      <c r="J8" s="9" t="n">
        <v>1500</v>
      </c>
      <c r="K8" s="9">
        <f>F8+H8+J8</f>
        <v/>
      </c>
    </row>
    <row r="9" ht="22" customHeight="1">
      <c r="A9" s="10" t="n"/>
      <c r="B9" s="10" t="inlineStr">
        <is>
          <t>合计</t>
        </is>
      </c>
      <c r="C9" s="10" t="n"/>
      <c r="D9" s="10">
        <f>SUM(D6:D8)</f>
        <v/>
      </c>
      <c r="E9" s="10" t="n"/>
      <c r="F9" s="10">
        <f>SUM(F6:F8)</f>
        <v/>
      </c>
      <c r="G9" s="10" t="n"/>
      <c r="H9" s="10">
        <f>SUM(H6:H8)</f>
        <v/>
      </c>
      <c r="I9" s="10" t="n"/>
      <c r="J9" s="10">
        <f>SUM(J6:J8)</f>
        <v/>
      </c>
      <c r="K9" s="10">
        <f>SUM(K6:K8)</f>
        <v/>
      </c>
    </row>
  </sheetData>
  <mergeCells count="5">
    <mergeCell ref="G4:H4"/>
    <mergeCell ref="I4:J4"/>
    <mergeCell ref="D4:F4"/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0" customWidth="1" min="4" max="4"/>
  </cols>
  <sheetData>
    <row r="1">
      <c r="A1" s="1" t="inlineStr">
        <is>
          <t>项目报价汇总表</t>
        </is>
      </c>
    </row>
    <row r="2">
      <c r="A2" s="11" t="inlineStr">
        <is>
          <t>本表自动汇总明细表数据</t>
        </is>
      </c>
    </row>
    <row r="4">
      <c r="A4" s="2" t="inlineStr">
        <is>
          <t>费用类别</t>
        </is>
      </c>
      <c r="B4" s="2" t="inlineStr">
        <is>
          <t>金额（元）</t>
        </is>
      </c>
      <c r="C4" s="2" t="inlineStr">
        <is>
          <t>占比</t>
        </is>
      </c>
      <c r="D4" s="2" t="inlineStr">
        <is>
          <t>备注</t>
        </is>
      </c>
    </row>
    <row r="5">
      <c r="A5" s="3" t="inlineStr">
        <is>
          <t>一、工时费用</t>
        </is>
      </c>
      <c r="B5" s="12">
        <f>'报价明细'!F9</f>
        <v/>
      </c>
      <c r="C5" s="13">
        <f>B5/B8</f>
        <v/>
      </c>
      <c r="D5" s="3" t="inlineStr">
        <is>
          <t>人工投入</t>
        </is>
      </c>
    </row>
    <row r="6">
      <c r="A6" s="3" t="inlineStr">
        <is>
          <t>二、硬件费用</t>
        </is>
      </c>
      <c r="B6" s="12">
        <f>'报价明细'!H9</f>
        <v/>
      </c>
      <c r="C6" s="13">
        <f>B6/B8</f>
        <v/>
      </c>
      <c r="D6" s="3" t="inlineStr">
        <is>
          <t>设备/服务采购</t>
        </is>
      </c>
    </row>
    <row r="7">
      <c r="A7" s="3" t="inlineStr">
        <is>
          <t>三、制造费用</t>
        </is>
      </c>
      <c r="B7" s="12">
        <f>'报价明细'!J9</f>
        <v/>
      </c>
      <c r="C7" s="13">
        <f>B7/B8</f>
        <v/>
      </c>
      <c r="D7" s="3" t="inlineStr">
        <is>
          <t>材料/外包服务</t>
        </is>
      </c>
    </row>
    <row r="8">
      <c r="A8" s="14" t="inlineStr">
        <is>
          <t>总计</t>
        </is>
      </c>
      <c r="B8" s="14">
        <f>'报价明细'!K9</f>
        <v/>
      </c>
      <c r="C8" s="14" t="inlineStr">
        <is>
          <t>100%</t>
        </is>
      </c>
      <c r="D8" s="14" t="inlineStr"/>
    </row>
    <row r="10">
      <c r="A10" s="15" t="inlineStr">
        <is>
          <t>报价分析</t>
        </is>
      </c>
    </row>
    <row r="11">
      <c r="A11" s="16" t="inlineStr">
        <is>
          <t>项目数量</t>
        </is>
      </c>
      <c r="B11" s="17">
        <f>COUNTA('报价明细'!B6:B20)</f>
        <v/>
      </c>
      <c r="C11" s="16" t="inlineStr">
        <is>
          <t>个</t>
        </is>
      </c>
    </row>
    <row r="12">
      <c r="A12" s="16" t="inlineStr">
        <is>
          <t>平均单项金额</t>
        </is>
      </c>
      <c r="B12" s="17">
        <f>IF(B11&gt;0,B8/B11,0)</f>
        <v/>
      </c>
      <c r="C12" s="16" t="inlineStr">
        <is>
          <t>元</t>
        </is>
      </c>
    </row>
    <row r="13">
      <c r="A13" s="16" t="inlineStr">
        <is>
          <t>最大单项</t>
        </is>
      </c>
      <c r="B13" s="17">
        <f>MAX('报价明细'!K6:K20)</f>
        <v/>
      </c>
      <c r="C13" s="16" t="inlineStr">
        <is>
          <t>元</t>
        </is>
      </c>
    </row>
    <row r="14">
      <c r="A14" s="16" t="inlineStr">
        <is>
          <t>最小单项</t>
        </is>
      </c>
      <c r="B14" s="17">
        <f>MIN('报价明细'!K6:K20)</f>
        <v/>
      </c>
      <c r="C14" s="16" t="inlineStr">
        <is>
          <t>元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2026-04-12T00:52:59Z</dcterms:created>
  <dcterms:modified xmlns:dcterms="http://purl.org/dc/terms/" xmlns:xsi="http://www.w3.org/2001/XMLSchema-instance" xsi:type="dcterms:W3CDTF">2026-04-12T00:52:59Z</dcterms:modified>
</cp:coreProperties>
</file>